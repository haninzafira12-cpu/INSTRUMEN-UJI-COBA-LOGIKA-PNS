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JI COBA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<sst xmlns="http://schemas.openxmlformats.org/spreadsheetml/2006/main" count="304" uniqueCount="126">
  <si>
    <t>KEGIATAN</t>
  </si>
  <si>
    <t>JENIS</t>
  </si>
  <si>
    <t>KATEGORI</t>
  </si>
  <si>
    <t>TENGGAT HARI</t>
  </si>
  <si>
    <t>TINGKAT KESULITAN (1-5)</t>
  </si>
  <si>
    <t>TERLAMBAT ?</t>
  </si>
  <si>
    <t>SKOR VARIABEL</t>
  </si>
  <si>
    <t>SKOR PRIORITAS</t>
  </si>
  <si>
    <t>TINGKAT KESULITAN</t>
  </si>
  <si>
    <t>ID Data</t>
  </si>
  <si>
    <t>Skor Variabel (X)</t>
  </si>
  <si>
    <t>Catatan (Kegiatan)</t>
  </si>
  <si>
    <t>Keterangan</t>
  </si>
  <si>
    <t>Projek WDM (progres mitra)</t>
  </si>
  <si>
    <t>Kelompok</t>
  </si>
  <si>
    <t>Ujian/UTS/UAS</t>
  </si>
  <si>
    <t>Iya</t>
  </si>
  <si>
    <t>Sangat mudah</t>
  </si>
  <si>
    <t>Projek WDM</t>
  </si>
  <si>
    <t>Kategori Tinggi</t>
  </si>
  <si>
    <t>Desain Microbloc Imlek</t>
  </si>
  <si>
    <t>Individu</t>
  </si>
  <si>
    <t>Organisasi</t>
  </si>
  <si>
    <t>Tidak</t>
  </si>
  <si>
    <t>RENDAH</t>
  </si>
  <si>
    <t>Mudah</t>
  </si>
  <si>
    <t>Tugas Web UMKM</t>
  </si>
  <si>
    <t>Kelas bahasa inggris</t>
  </si>
  <si>
    <t>Pribadi</t>
  </si>
  <si>
    <t>Sedang</t>
  </si>
  <si>
    <t>Tugas membuat video iklan</t>
  </si>
  <si>
    <t>Kategori tinggi</t>
  </si>
  <si>
    <t>Projek Game Edukasi</t>
  </si>
  <si>
    <t>SEDANG</t>
  </si>
  <si>
    <t>Sulit</t>
  </si>
  <si>
    <t>Tugas Game</t>
  </si>
  <si>
    <t>Kategori Sedang</t>
  </si>
  <si>
    <t>Kajian Pendidikan</t>
  </si>
  <si>
    <t>Sangat Sulit</t>
  </si>
  <si>
    <t>Monthly Report</t>
  </si>
  <si>
    <t>Tugas APB</t>
  </si>
  <si>
    <t>Projek Portofolio</t>
  </si>
  <si>
    <t>Tugas Membuat Video Iklan</t>
  </si>
  <si>
    <t>Tugas</t>
  </si>
  <si>
    <t>TINGGI</t>
  </si>
  <si>
    <t>Projek Media Digital Interaktif (aplikasi)</t>
  </si>
  <si>
    <t>Review Music Video</t>
  </si>
  <si>
    <t>Kategori Rendah</t>
  </si>
  <si>
    <t xml:space="preserve">Monthly Report </t>
  </si>
  <si>
    <t>Stuban BSI</t>
  </si>
  <si>
    <t>Latihan pembuatan aplikasi catatan</t>
  </si>
  <si>
    <t>projek portofolio</t>
  </si>
  <si>
    <t xml:space="preserve">mean </t>
  </si>
  <si>
    <t>riview music video</t>
  </si>
  <si>
    <t>median</t>
  </si>
  <si>
    <t>timeline max</t>
  </si>
  <si>
    <t>standar dev</t>
  </si>
  <si>
    <t>stuban bsi</t>
  </si>
  <si>
    <t>Edit Video</t>
  </si>
  <si>
    <t>var</t>
  </si>
  <si>
    <t>Workshop SMPTQ</t>
  </si>
  <si>
    <t xml:space="preserve">min </t>
  </si>
  <si>
    <t>tugas 4 probstat</t>
  </si>
  <si>
    <t xml:space="preserve">
=MAX(P2:P11</t>
  </si>
  <si>
    <t>max</t>
  </si>
  <si>
    <t>range</t>
  </si>
  <si>
    <t>Metrik Statistik</t>
  </si>
  <si>
    <t>Hasil Excel</t>
  </si>
  <si>
    <t>Hasil JavaScript (dari hitungStatistik())</t>
  </si>
  <si>
    <t>Selisih</t>
  </si>
  <si>
    <t>Valid (Ya/Tidak)</t>
  </si>
  <si>
    <t>Mean (rata‑rata)</t>
  </si>
  <si>
    <t>69.70</t>
  </si>
  <si>
    <t xml:space="preserve">Ya </t>
  </si>
  <si>
    <t>Median (nilai tengah)</t>
  </si>
  <si>
    <t>Ya</t>
  </si>
  <si>
    <t>Modus (nilai terbanyak)</t>
  </si>
  <si>
    <t>________</t>
  </si>
  <si>
    <t>Varians (sampel)</t>
  </si>
  <si>
    <t>253.57</t>
  </si>
  <si>
    <t>Standar Deviasi (sampel)</t>
  </si>
  <si>
    <t>15.92</t>
  </si>
  <si>
    <t>Min</t>
  </si>
  <si>
    <t>Max</t>
  </si>
  <si>
    <t>Range</t>
  </si>
  <si>
    <t>ID Kasus</t>
  </si>
  <si>
    <t>Skenario Uji</t>
  </si>
  <si>
    <t>Kategori</t>
  </si>
  <si>
    <t>Jenis</t>
  </si>
  <si>
    <t>Tenggat Hari</t>
  </si>
  <si>
    <t>Tingkat Kesulitan</t>
  </si>
  <si>
    <t>Terlambat?</t>
  </si>
  <si>
    <t>Skor Diharapkan (Manual/Excel)</t>
  </si>
  <si>
    <t>Skor Sistem</t>
  </si>
  <si>
    <t>B1</t>
  </si>
  <si>
    <t>Skor Paling TInggi</t>
  </si>
  <si>
    <t>Ujian</t>
  </si>
  <si>
    <t>100 (TINGGI)</t>
  </si>
  <si>
    <t>B2</t>
  </si>
  <si>
    <t>Skor TInggi (A)</t>
  </si>
  <si>
    <t>85 (TINGGI)</t>
  </si>
  <si>
    <t xml:space="preserve">Ya 
</t>
  </si>
  <si>
    <t>B3</t>
  </si>
  <si>
    <t>Skor Tinggi 
(B)</t>
  </si>
  <si>
    <t>81 (TINGGI)</t>
  </si>
  <si>
    <t>B4</t>
  </si>
  <si>
    <t>Skor Sedang (A)</t>
  </si>
  <si>
    <t>75 (Sedang)</t>
  </si>
  <si>
    <t>B5</t>
  </si>
  <si>
    <t>Skor Sedang (B)</t>
  </si>
  <si>
    <t>71 (Sedang)</t>
  </si>
  <si>
    <t>B6</t>
  </si>
  <si>
    <t>Skor Sedang 
(C)</t>
  </si>
  <si>
    <t>65 (Sedang)</t>
  </si>
  <si>
    <t>B7</t>
  </si>
  <si>
    <t>Batas Pas 60</t>
  </si>
  <si>
    <t>60(Sedang)</t>
  </si>
  <si>
    <t>B8</t>
  </si>
  <si>
    <t>Batas Pas 59</t>
  </si>
  <si>
    <t>59(Rendah)</t>
  </si>
  <si>
    <t>B9</t>
  </si>
  <si>
    <t>Skor Rendah (A)</t>
  </si>
  <si>
    <t>52 (Rendah)</t>
  </si>
  <si>
    <t>B10</t>
  </si>
  <si>
    <t>Skor Rendah (B)</t>
  </si>
  <si>
    <t>49 (Rendah)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</si>
</sst>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  <scheme val="minor"/>
    </font>
    <font/>
    <font>
      <color rgb="FF1F1F1F"/>
      <name val="&quot;Google Sans Text&quot;"/>
    </font>
    <font>
      <b/>
      <sz val="12.0"/>
      <color rgb="FF0F1115"/>
      <name val="Roboto"/>
    </font>
    <font>
      <color rgb="FF434343"/>
      <name val="Roboto"/>
    </font>
    <font>
      <color rgb="FF0A53A8"/>
      <name val="Roboto"/>
    </font>
    <font>
      <color rgb="FFB10202"/>
      <name val="Roboto"/>
    </font>
    <font>
      <b/>
      <color rgb="FF1F1F1F"/>
      <name val="&quot;Google Sans Text&quot;"/>
    </font>
    <font>
      <sz val="12.0"/>
      <color rgb="FF0F1115"/>
      <name val="Roboto"/>
    </font>
    <font>
      <sz val="11.0"/>
      <color rgb="FF434343"/>
      <name val="Roboto"/>
    </font>
    <font>
      <color rgb="FF11734B"/>
      <name val="Roboto"/>
    </font>
    <font>
      <color rgb="FFB10202"/>
      <name val="Arial"/>
    </font>
    <font>
      <color rgb="FF434343"/>
      <name val="Arial"/>
    </font>
    <font>
      <color rgb="FF11734B"/>
      <name val="Arial"/>
    </font>
    <font>
      <sz val="11.0"/>
      <color rgb="FF0A53A8"/>
      <name val="Roboto"/>
    </font>
    <font>
      <color rgb="FF753800"/>
      <name val="Arial"/>
    </font>
    <font>
      <b/>
      <sz val="12.0"/>
      <color theme="1"/>
      <name val="Roboto"/>
    </font>
    <font>
      <sz val="11.0"/>
      <color rgb="FF0F1115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3" fontId="4" numFmtId="0" xfId="0" applyAlignment="1" applyBorder="1" applyFill="1" applyFont="1">
      <alignment readingOrder="0"/>
    </xf>
    <xf borderId="0" fillId="0" fontId="5" numFmtId="0" xfId="0" applyAlignment="1" applyFont="1">
      <alignment horizontal="center" readingOrder="0" shrinkToFit="0" wrapText="1"/>
    </xf>
    <xf borderId="3" fillId="3" fontId="6" numFmtId="0" xfId="0" applyAlignment="1" applyBorder="1" applyFont="1">
      <alignment shrinkToFit="0" vertical="center" wrapText="0"/>
    </xf>
    <xf borderId="3" fillId="3" fontId="7" numFmtId="0" xfId="0" applyAlignment="1" applyBorder="1" applyFont="1">
      <alignment readingOrder="0" shrinkToFit="0" vertical="center" wrapText="0"/>
    </xf>
    <xf borderId="3" fillId="3" fontId="8" numFmtId="0" xfId="0" applyAlignment="1" applyBorder="1" applyFont="1">
      <alignment readingOrder="0" shrinkToFit="0" vertical="center" wrapText="0"/>
    </xf>
    <xf borderId="3" fillId="3" fontId="6" numFmtId="0" xfId="0" applyAlignment="1" applyBorder="1" applyFont="1">
      <alignment horizontal="center" readingOrder="0" shrinkToFit="0" vertical="center" wrapText="0"/>
    </xf>
    <xf borderId="3" fillId="3" fontId="6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0" fillId="0" fontId="10" numFmtId="0" xfId="0" applyAlignment="1" applyFont="1">
      <alignment horizontal="center" readingOrder="0" shrinkToFit="0" wrapText="1"/>
    </xf>
    <xf borderId="3" fillId="3" fontId="2" numFmtId="0" xfId="0" applyAlignment="1" applyBorder="1" applyFont="1">
      <alignment readingOrder="0" shrinkToFit="0" vertical="center" wrapText="0"/>
    </xf>
    <xf borderId="3" fillId="3" fontId="11" numFmtId="0" xfId="0" applyAlignment="1" applyBorder="1" applyFont="1">
      <alignment horizontal="center" readingOrder="0" shrinkToFit="0" vertical="center" wrapText="0"/>
    </xf>
    <xf borderId="3" fillId="4" fontId="6" numFmtId="0" xfId="0" applyAlignment="1" applyBorder="1" applyFill="1" applyFont="1">
      <alignment shrinkToFit="0" vertical="center" wrapText="0"/>
    </xf>
    <xf borderId="3" fillId="5" fontId="6" numFmtId="0" xfId="0" applyAlignment="1" applyBorder="1" applyFill="1" applyFont="1">
      <alignment horizontal="left" readingOrder="0" shrinkToFit="0" vertical="center" wrapText="1"/>
    </xf>
    <xf borderId="3" fillId="5" fontId="8" numFmtId="0" xfId="0" applyAlignment="1" applyBorder="1" applyFont="1">
      <alignment readingOrder="0" shrinkToFit="0" vertical="center" wrapText="0"/>
    </xf>
    <xf borderId="3" fillId="5" fontId="12" numFmtId="0" xfId="0" applyAlignment="1" applyBorder="1" applyFont="1">
      <alignment readingOrder="0" shrinkToFit="0" vertical="center" wrapText="0"/>
    </xf>
    <xf borderId="3" fillId="5" fontId="6" numFmtId="0" xfId="0" applyAlignment="1" applyBorder="1" applyFont="1">
      <alignment horizontal="center" readingOrder="0" shrinkToFit="0" vertical="center" wrapText="0"/>
    </xf>
    <xf borderId="3" fillId="5" fontId="6" numFmtId="0" xfId="0" applyAlignment="1" applyBorder="1" applyFont="1">
      <alignment horizontal="center" shrinkToFit="0" vertical="center" wrapText="0"/>
    </xf>
    <xf borderId="3" fillId="5" fontId="6" numFmtId="0" xfId="0" applyAlignment="1" applyBorder="1" applyFont="1">
      <alignment shrinkToFit="0" vertical="center" wrapText="0"/>
    </xf>
    <xf borderId="3" fillId="5" fontId="6" numFmtId="0" xfId="0" applyAlignment="1" applyBorder="1" applyFont="1">
      <alignment shrinkToFit="0" vertical="center" wrapText="1"/>
    </xf>
    <xf borderId="3" fillId="5" fontId="7" numFmtId="0" xfId="0" applyAlignment="1" applyBorder="1" applyFont="1">
      <alignment readingOrder="0" shrinkToFit="0" vertical="center" wrapText="0"/>
    </xf>
    <xf borderId="3" fillId="5" fontId="6" numFmtId="0" xfId="0" applyAlignment="1" applyBorder="1" applyFont="1">
      <alignment readingOrder="0" shrinkToFit="0" vertical="center" wrapText="0"/>
    </xf>
    <xf borderId="3" fillId="3" fontId="6" numFmtId="0" xfId="0" applyAlignment="1" applyBorder="1" applyFont="1">
      <alignment readingOrder="0" shrinkToFit="0" vertical="center" wrapText="0"/>
    </xf>
    <xf borderId="3" fillId="3" fontId="12" numFmtId="0" xfId="0" applyAlignment="1" applyBorder="1" applyFont="1">
      <alignment readingOrder="0" shrinkToFit="0" vertical="center" wrapText="0"/>
    </xf>
    <xf borderId="3" fillId="3" fontId="13" numFmtId="0" xfId="0" applyAlignment="1" applyBorder="1" applyFont="1">
      <alignment readingOrder="0" shrinkToFit="0" vertical="center" wrapText="0"/>
    </xf>
    <xf borderId="3" fillId="3" fontId="6" numFmtId="0" xfId="0" applyAlignment="1" applyBorder="1" applyFont="1">
      <alignment horizontal="center" readingOrder="0" shrinkToFit="0" vertical="center" wrapText="0"/>
    </xf>
    <xf borderId="3" fillId="3" fontId="14" numFmtId="0" xfId="0" applyAlignment="1" applyBorder="1" applyFont="1">
      <alignment horizontal="center" readingOrder="0" shrinkToFit="0" vertical="center" wrapText="0"/>
    </xf>
    <xf borderId="3" fillId="3" fontId="15" numFmtId="0" xfId="0" applyAlignment="1" applyBorder="1" applyFont="1">
      <alignment readingOrder="0" shrinkToFit="0" vertical="center" wrapText="0"/>
    </xf>
    <xf borderId="3" fillId="5" fontId="16" numFmtId="0" xfId="0" applyAlignment="1" applyBorder="1" applyFont="1">
      <alignment readingOrder="0" shrinkToFit="0" vertical="center" wrapText="0"/>
    </xf>
    <xf borderId="3" fillId="5" fontId="6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readingOrder="0"/>
    </xf>
    <xf borderId="3" fillId="0" fontId="2" numFmtId="0" xfId="0" applyBorder="1" applyFont="1"/>
    <xf borderId="3" fillId="3" fontId="17" numFmtId="0" xfId="0" applyAlignment="1" applyBorder="1" applyFont="1">
      <alignment readingOrder="0" shrinkToFit="0" vertical="center" wrapText="0"/>
    </xf>
    <xf borderId="3" fillId="5" fontId="17" numFmtId="0" xfId="0" applyAlignment="1" applyBorder="1" applyFont="1">
      <alignment readingOrder="0" shrinkToFit="0" vertical="center" wrapText="0"/>
    </xf>
    <xf borderId="3" fillId="5" fontId="14" numFmtId="0" xfId="0" applyAlignment="1" applyBorder="1" applyFont="1">
      <alignment horizontal="center" readingOrder="0" shrinkToFit="0" vertical="center" wrapText="0"/>
    </xf>
    <xf borderId="3" fillId="4" fontId="12" numFmtId="0" xfId="0" applyAlignment="1" applyBorder="1" applyFont="1">
      <alignment readingOrder="0" shrinkToFit="0" vertical="center" wrapText="0"/>
    </xf>
    <xf borderId="3" fillId="4" fontId="6" numFmtId="0" xfId="0" applyAlignment="1" applyBorder="1" applyFont="1">
      <alignment horizontal="center" readingOrder="0" shrinkToFit="0" vertical="center" wrapText="0"/>
    </xf>
    <xf borderId="3" fillId="5" fontId="15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3" fillId="0" fontId="6" numFmtId="0" xfId="0" applyAlignment="1" applyBorder="1" applyFont="1">
      <alignment readingOrder="0" shrinkToFit="0" vertical="center" wrapText="0"/>
    </xf>
    <xf borderId="3" fillId="0" fontId="7" numFmtId="0" xfId="0" applyAlignment="1" applyBorder="1" applyFont="1">
      <alignment readingOrder="0" shrinkToFit="0" vertical="center" wrapText="0"/>
    </xf>
    <xf borderId="3" fillId="0" fontId="12" numFmtId="0" xfId="0" applyAlignment="1" applyBorder="1" applyFont="1">
      <alignment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shrinkToFit="0" vertical="center" wrapText="0"/>
    </xf>
    <xf borderId="3" fillId="5" fontId="13" numFmtId="0" xfId="0" applyAlignment="1" applyBorder="1" applyFont="1">
      <alignment readingOrder="0" shrinkToFit="0" vertical="center" wrapText="0"/>
    </xf>
    <xf borderId="3" fillId="5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3" fillId="0" fontId="11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shrinkToFit="0" vertical="center" wrapText="0"/>
    </xf>
    <xf borderId="0" fillId="0" fontId="18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left" readingOrder="0" shrinkToFit="0" vertical="top" wrapText="1"/>
    </xf>
    <xf borderId="0" fillId="5" fontId="2" numFmtId="0" xfId="0" applyAlignment="1" applyFont="1">
      <alignment horizontal="left" shrinkToFit="0" vertical="top" wrapText="1"/>
    </xf>
    <xf borderId="0" fillId="5" fontId="2" numFmtId="0" xfId="0" applyAlignment="1" applyFont="1">
      <alignment horizontal="left"/>
    </xf>
    <xf borderId="0" fillId="0" fontId="19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C77B78"/>
          <bgColor rgb="FFC77B7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77B78"/>
        </left>
        <right style="thin">
          <color rgb="FFC77B78"/>
        </right>
        <top style="thin">
          <color rgb="FFC77B78"/>
        </top>
        <bottom style="thin">
          <color rgb="FFC77B78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4" pivot="0" name="UJI COB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COB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Sheet2-style 2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36</xdr:row>
      <xdr:rowOff>200025</xdr:rowOff>
    </xdr:from>
    <xdr:ext cx="4171950" cy="2543175"/>
    <xdr:pic>
      <xdr:nvPicPr>
        <xdr:cNvPr id="2037752441" name="Chart1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36</xdr:row>
      <xdr:rowOff>171450</xdr:rowOff>
    </xdr:from>
    <xdr:ext cx="4238625" cy="2590800"/>
    <xdr:pic>
      <xdr:nvPicPr>
        <xdr:cNvPr id="496264526" name="Chart2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51</xdr:row>
      <xdr:rowOff>9525</xdr:rowOff>
    </xdr:from>
    <xdr:ext cx="4238625" cy="2590800"/>
    <xdr:pic>
      <xdr:nvPicPr>
        <xdr:cNvPr id="1065605491" name="Chart3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51</xdr:row>
      <xdr:rowOff>9525</xdr:rowOff>
    </xdr:from>
    <xdr:ext cx="4171950" cy="2590800"/>
    <xdr:pic>
      <xdr:nvPicPr>
        <xdr:cNvPr id="1395591216" name="Chart4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0" displayName="Table1" name="Table1" id="1">
  <tableColumns count="8">
    <tableColumn name="KEGIATAN" id="1"/>
    <tableColumn name="JENIS" id="2"/>
    <tableColumn name="KATEGORI" id="3"/>
    <tableColumn name="TENGGAT HARI" id="4"/>
    <tableColumn name="TINGKAT KESULITAN (1-5)" id="5"/>
    <tableColumn name="TERLAMBAT ?" id="6"/>
    <tableColumn name="SKOR VARIABEL" id="7"/>
    <tableColumn name="SKOR PRIORITAS" id="8"/>
  </tableColumns>
  <tableStyleInfo name="UJI COBA-style" showColumnStripes="0" showFirstColumn="1" showLastColumn="1" showRowStripes="1"/>
</table>
</file>

<file path=xl/tables/table2.xml><?xml version="1.0" encoding="utf-8"?>
<table xmlns="http://schemas.openxmlformats.org/spreadsheetml/2006/main" ref="A25:H35" displayName="TABEL_10_KEGIATAN_UNTUK_JS" name="TABEL_10_KEGIATAN_UNTUK_JS" id="2">
  <tableColumns count="8">
    <tableColumn name="KEGIATAN" id="1"/>
    <tableColumn name="JENIS" id="2"/>
    <tableColumn name="KATEGORI" id="3"/>
    <tableColumn name="TENGGAT HARI" id="4"/>
    <tableColumn name="TINGKAT KESULITAN (1-5)" id="5"/>
    <tableColumn name="TERLAMBAT ?" id="6"/>
    <tableColumn name="SKOR VARIABEL" id="7"/>
    <tableColumn name="SKOR PRIORITAS" id="8"/>
  </tableColumns>
  <tableStyleInfo name="UJI COBA-style 2" showColumnStripes="0" showFirstColumn="1" showLastColumn="1" showRowStripes="1"/>
</table>
</file>

<file path=xl/tables/table3.xml><?xml version="1.0" encoding="utf-8"?>
<table xmlns="http://schemas.openxmlformats.org/spreadsheetml/2006/main" ref="B2:F10" displayName="Table2" name="Table2" id="3">
  <tableColumns count="5">
    <tableColumn name="Metrik Statistik" id="1"/>
    <tableColumn name="Hasil Excel" id="2"/>
    <tableColumn name="Hasil JavaScript (dari hitungStatistik())" id="3"/>
    <tableColumn name="Selisih" id="4"/>
    <tableColumn name="Valid (Ya/Tidak)" id="5"/>
  </tableColumns>
  <tableStyleInfo name="Sheet2-style" showColumnStripes="0" showFirstColumn="1" showLastColumn="1" showRowStripes="1"/>
</table>
</file>

<file path=xl/tables/table4.xml><?xml version="1.0" encoding="utf-8"?>
<table xmlns="http://schemas.openxmlformats.org/spreadsheetml/2006/main" ref="A15:J25" displayName="Table3" name="Table3" id="4">
  <tableColumns count="10">
    <tableColumn name="ID Kasus" id="1"/>
    <tableColumn name="Skenario Uji" id="2"/>
    <tableColumn name="Kategori" id="3"/>
    <tableColumn name="Jenis" id="4"/>
    <tableColumn name="Tenggat Hari" id="5"/>
    <tableColumn name="Tingkat Kesulitan" id="6"/>
    <tableColumn name="Terlambat?" id="7"/>
    <tableColumn name="Skor Diharapkan (Manual/Excel)" id="8"/>
    <tableColumn name="Skor Sistem" id="9"/>
    <tableColumn name="Valid (Ya/Tidak)" id="10"/>
  </tableColumns>
  <tableStyleInfo name="Sheet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18.13"/>
    <col customWidth="1" min="3" max="3" width="15.25"/>
    <col customWidth="1" min="4" max="4" width="17.75"/>
    <col customWidth="1" min="5" max="5" width="21.63"/>
    <col customWidth="1" min="6" max="6" width="16.88"/>
    <col customWidth="1" min="7" max="7" width="19.63"/>
    <col customWidth="1" min="8" max="8" width="23.38"/>
    <col customWidth="1" min="11" max="11" width="15.38"/>
    <col customWidth="1" min="14" max="14" width="20.25"/>
    <col customWidth="1" min="15" max="15" width="35.75"/>
    <col customWidth="1" min="16" max="16" width="27.13"/>
    <col customWidth="1" min="17" max="17" width="24.75"/>
    <col customWidth="1" min="18" max="18" width="3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3"/>
      <c r="M1" s="4" t="s">
        <v>9</v>
      </c>
      <c r="N1" s="4" t="s">
        <v>10</v>
      </c>
      <c r="O1" s="4" t="s">
        <v>11</v>
      </c>
      <c r="P1" s="4" t="s">
        <v>12</v>
      </c>
      <c r="T1" s="5"/>
      <c r="U1" s="5"/>
    </row>
    <row r="2" ht="22.5" customHeight="1">
      <c r="A2" s="6" t="s">
        <v>13</v>
      </c>
      <c r="B2" s="7" t="s">
        <v>14</v>
      </c>
      <c r="C2" s="8" t="s">
        <v>15</v>
      </c>
      <c r="D2" s="9">
        <v>1.0</v>
      </c>
      <c r="E2" s="9">
        <v>5.0</v>
      </c>
      <c r="F2" s="9" t="s">
        <v>16</v>
      </c>
      <c r="G2" s="10">
        <f t="array" ref="G2:G20">IF(A2:A20="", "", 
  IF((C2:C977="Tugas") + (C2:C977="Ujian/UTS/UAS"), 25, 15) + 
  IF(D2:D977&lt;=8.45, 25, 10) + 
  (E2:E977*4) + 
  IF(B2:B977="Kelompok", 15, 5) + 
  IF(F2:F977="Iya", 15, 0)
)</f>
        <v>100</v>
      </c>
      <c r="H2" s="6" t="str">
        <f t="array" ref="H2:H20">IF(G2:G20="", "", IF(G2:G20&gt;=80, "TINGGI", IF(G2:G20&gt;=60, "SEDANG", IF(G2:G20&gt;=40, "RENDAH", "RENDAH"))))</f>
        <v>TINGGI</v>
      </c>
      <c r="J2" s="11">
        <v>1.0</v>
      </c>
      <c r="K2" s="11" t="s">
        <v>17</v>
      </c>
      <c r="M2" s="12">
        <v>1.0</v>
      </c>
      <c r="N2" s="13">
        <v>100.0</v>
      </c>
      <c r="O2" s="14" t="s">
        <v>18</v>
      </c>
      <c r="P2" s="14" t="s">
        <v>19</v>
      </c>
      <c r="T2" s="15"/>
      <c r="U2" s="15"/>
    </row>
    <row r="3" ht="22.5" customHeight="1">
      <c r="A3" s="16" t="s">
        <v>20</v>
      </c>
      <c r="B3" s="8" t="s">
        <v>21</v>
      </c>
      <c r="C3" s="8" t="s">
        <v>22</v>
      </c>
      <c r="D3" s="9">
        <v>7.0</v>
      </c>
      <c r="E3" s="17">
        <v>1.0</v>
      </c>
      <c r="F3" s="9" t="s">
        <v>23</v>
      </c>
      <c r="G3" s="10">
        <v>49.0</v>
      </c>
      <c r="H3" s="18" t="s">
        <v>24</v>
      </c>
      <c r="J3" s="11">
        <v>2.0</v>
      </c>
      <c r="K3" s="11" t="s">
        <v>25</v>
      </c>
      <c r="M3" s="12">
        <v>2.0</v>
      </c>
      <c r="N3" s="13">
        <v>85.0</v>
      </c>
      <c r="O3" s="14" t="s">
        <v>26</v>
      </c>
      <c r="P3" s="14" t="s">
        <v>19</v>
      </c>
      <c r="T3" s="15"/>
      <c r="U3" s="15"/>
    </row>
    <row r="4" ht="22.5" customHeight="1">
      <c r="A4" s="19" t="s">
        <v>27</v>
      </c>
      <c r="B4" s="20" t="s">
        <v>21</v>
      </c>
      <c r="C4" s="21" t="s">
        <v>28</v>
      </c>
      <c r="D4" s="22">
        <v>5.0</v>
      </c>
      <c r="E4" s="22">
        <v>2.0</v>
      </c>
      <c r="F4" s="22" t="s">
        <v>23</v>
      </c>
      <c r="G4" s="23">
        <v>53.0</v>
      </c>
      <c r="H4" s="24" t="s">
        <v>24</v>
      </c>
      <c r="J4" s="11">
        <v>3.0</v>
      </c>
      <c r="K4" s="11" t="s">
        <v>29</v>
      </c>
      <c r="M4" s="12">
        <v>3.0</v>
      </c>
      <c r="N4" s="13">
        <v>81.0</v>
      </c>
      <c r="O4" s="14" t="s">
        <v>30</v>
      </c>
      <c r="P4" s="14" t="s">
        <v>31</v>
      </c>
      <c r="T4" s="15"/>
      <c r="U4" s="15"/>
    </row>
    <row r="5" ht="22.5" customHeight="1">
      <c r="A5" s="16" t="s">
        <v>32</v>
      </c>
      <c r="B5" s="8" t="s">
        <v>21</v>
      </c>
      <c r="C5" s="7" t="s">
        <v>15</v>
      </c>
      <c r="D5" s="9">
        <v>15.0</v>
      </c>
      <c r="E5" s="9">
        <v>5.0</v>
      </c>
      <c r="F5" s="9" t="s">
        <v>23</v>
      </c>
      <c r="G5" s="10">
        <v>60.0</v>
      </c>
      <c r="H5" s="18" t="s">
        <v>33</v>
      </c>
      <c r="J5" s="11">
        <v>4.0</v>
      </c>
      <c r="K5" s="11" t="s">
        <v>34</v>
      </c>
      <c r="M5" s="12">
        <v>4.0</v>
      </c>
      <c r="N5" s="13">
        <v>75.0</v>
      </c>
      <c r="O5" s="14" t="s">
        <v>35</v>
      </c>
      <c r="P5" s="14" t="s">
        <v>36</v>
      </c>
      <c r="T5" s="15"/>
      <c r="U5" s="15"/>
    </row>
    <row r="6" ht="22.5" customHeight="1">
      <c r="A6" s="25" t="s">
        <v>37</v>
      </c>
      <c r="B6" s="26" t="s">
        <v>14</v>
      </c>
      <c r="C6" s="20" t="s">
        <v>22</v>
      </c>
      <c r="D6" s="22">
        <v>10.0</v>
      </c>
      <c r="E6" s="22">
        <v>2.0</v>
      </c>
      <c r="F6" s="22" t="s">
        <v>16</v>
      </c>
      <c r="G6" s="23">
        <v>63.0</v>
      </c>
      <c r="H6" s="24" t="s">
        <v>33</v>
      </c>
      <c r="J6" s="11">
        <v>5.0</v>
      </c>
      <c r="K6" s="11" t="s">
        <v>38</v>
      </c>
      <c r="M6" s="12">
        <v>5.0</v>
      </c>
      <c r="N6" s="13">
        <v>71.0</v>
      </c>
      <c r="O6" s="14" t="s">
        <v>39</v>
      </c>
      <c r="P6" s="14" t="s">
        <v>36</v>
      </c>
      <c r="T6" s="15"/>
      <c r="U6" s="15"/>
    </row>
    <row r="7" ht="22.5" customHeight="1">
      <c r="A7" s="27" t="s">
        <v>40</v>
      </c>
      <c r="B7" s="26" t="s">
        <v>21</v>
      </c>
      <c r="C7" s="20" t="s">
        <v>15</v>
      </c>
      <c r="D7" s="22">
        <v>5.0</v>
      </c>
      <c r="E7" s="22">
        <v>5.0</v>
      </c>
      <c r="F7" s="22" t="s">
        <v>23</v>
      </c>
      <c r="G7" s="22">
        <v>75.0</v>
      </c>
      <c r="H7" s="18" t="s">
        <v>33</v>
      </c>
      <c r="M7" s="12">
        <v>6.0</v>
      </c>
      <c r="N7" s="13">
        <v>65.0</v>
      </c>
      <c r="O7" s="14" t="s">
        <v>41</v>
      </c>
      <c r="P7" s="14" t="s">
        <v>36</v>
      </c>
      <c r="T7" s="15"/>
      <c r="U7" s="15"/>
    </row>
    <row r="8" ht="22.5" customHeight="1">
      <c r="A8" s="28" t="s">
        <v>42</v>
      </c>
      <c r="B8" s="7" t="s">
        <v>14</v>
      </c>
      <c r="C8" s="29" t="s">
        <v>43</v>
      </c>
      <c r="D8" s="9">
        <v>7.0</v>
      </c>
      <c r="E8" s="9">
        <v>4.0</v>
      </c>
      <c r="F8" s="9" t="s">
        <v>23</v>
      </c>
      <c r="G8" s="10">
        <v>81.0</v>
      </c>
      <c r="H8" s="6" t="s">
        <v>44</v>
      </c>
      <c r="M8" s="12">
        <v>7.0</v>
      </c>
      <c r="N8" s="13">
        <v>60.0</v>
      </c>
      <c r="O8" s="14" t="s">
        <v>32</v>
      </c>
      <c r="P8" s="14" t="s">
        <v>36</v>
      </c>
      <c r="T8" s="15"/>
      <c r="U8" s="15"/>
    </row>
    <row r="9" ht="22.5" customHeight="1">
      <c r="A9" s="27" t="s">
        <v>45</v>
      </c>
      <c r="B9" s="26" t="s">
        <v>21</v>
      </c>
      <c r="C9" s="26" t="s">
        <v>15</v>
      </c>
      <c r="D9" s="22">
        <v>14.0</v>
      </c>
      <c r="E9" s="22">
        <v>5.0</v>
      </c>
      <c r="F9" s="22" t="s">
        <v>23</v>
      </c>
      <c r="G9" s="23">
        <v>60.0</v>
      </c>
      <c r="H9" s="18" t="s">
        <v>33</v>
      </c>
      <c r="M9" s="12">
        <v>8.0</v>
      </c>
      <c r="N9" s="13">
        <v>59.0</v>
      </c>
      <c r="O9" s="14" t="s">
        <v>46</v>
      </c>
      <c r="P9" s="14" t="s">
        <v>47</v>
      </c>
    </row>
    <row r="10" ht="22.5" customHeight="1">
      <c r="A10" s="28" t="s">
        <v>48</v>
      </c>
      <c r="B10" s="7" t="s">
        <v>14</v>
      </c>
      <c r="C10" s="30" t="s">
        <v>22</v>
      </c>
      <c r="D10" s="31">
        <v>5.0</v>
      </c>
      <c r="E10" s="32">
        <v>4.0</v>
      </c>
      <c r="F10" s="32" t="s">
        <v>23</v>
      </c>
      <c r="G10" s="10">
        <v>71.0</v>
      </c>
      <c r="H10" s="24" t="s">
        <v>33</v>
      </c>
      <c r="M10" s="12">
        <v>9.0</v>
      </c>
      <c r="N10" s="13">
        <v>52.0</v>
      </c>
      <c r="O10" s="14" t="s">
        <v>49</v>
      </c>
      <c r="P10" s="14" t="s">
        <v>47</v>
      </c>
    </row>
    <row r="11" ht="22.5" customHeight="1">
      <c r="A11" s="28" t="s">
        <v>35</v>
      </c>
      <c r="B11" s="7" t="s">
        <v>21</v>
      </c>
      <c r="C11" s="33" t="s">
        <v>43</v>
      </c>
      <c r="D11" s="31">
        <v>1.0</v>
      </c>
      <c r="E11" s="32">
        <v>5.0</v>
      </c>
      <c r="F11" s="32" t="s">
        <v>23</v>
      </c>
      <c r="G11" s="10">
        <v>75.0</v>
      </c>
      <c r="H11" s="18" t="s">
        <v>33</v>
      </c>
      <c r="M11" s="12">
        <v>10.0</v>
      </c>
      <c r="N11" s="13">
        <v>49.0</v>
      </c>
      <c r="O11" s="14" t="s">
        <v>20</v>
      </c>
      <c r="P11" s="14" t="s">
        <v>47</v>
      </c>
    </row>
    <row r="12" ht="22.5" customHeight="1">
      <c r="A12" s="28" t="s">
        <v>26</v>
      </c>
      <c r="B12" s="7" t="s">
        <v>14</v>
      </c>
      <c r="C12" s="29" t="s">
        <v>43</v>
      </c>
      <c r="D12" s="9">
        <v>3.0</v>
      </c>
      <c r="E12" s="9">
        <v>5.0</v>
      </c>
      <c r="F12" s="9" t="s">
        <v>23</v>
      </c>
      <c r="G12" s="10">
        <v>85.0</v>
      </c>
      <c r="H12" s="6" t="s">
        <v>44</v>
      </c>
    </row>
    <row r="13" ht="22.5" customHeight="1">
      <c r="A13" s="27" t="s">
        <v>50</v>
      </c>
      <c r="B13" s="34" t="s">
        <v>14</v>
      </c>
      <c r="C13" s="26" t="s">
        <v>43</v>
      </c>
      <c r="D13" s="35">
        <v>1.0</v>
      </c>
      <c r="E13" s="22">
        <v>3.0</v>
      </c>
      <c r="F13" s="22" t="s">
        <v>23</v>
      </c>
      <c r="G13" s="23">
        <v>77.0</v>
      </c>
      <c r="H13" s="18" t="s">
        <v>33</v>
      </c>
    </row>
    <row r="14" ht="22.5" customHeight="1">
      <c r="A14" s="28" t="s">
        <v>51</v>
      </c>
      <c r="B14" s="7" t="s">
        <v>21</v>
      </c>
      <c r="C14" s="8" t="s">
        <v>28</v>
      </c>
      <c r="D14" s="9">
        <v>20.0</v>
      </c>
      <c r="E14" s="9">
        <v>5.0</v>
      </c>
      <c r="F14" s="9" t="s">
        <v>16</v>
      </c>
      <c r="G14" s="10">
        <v>65.0</v>
      </c>
      <c r="H14" s="24" t="s">
        <v>33</v>
      </c>
      <c r="M14" s="36" t="s">
        <v>52</v>
      </c>
      <c r="N14" s="37">
        <f>AVERAGE(N2:N11)</f>
        <v>69.7</v>
      </c>
    </row>
    <row r="15" ht="22.5" customHeight="1">
      <c r="A15" s="28" t="s">
        <v>53</v>
      </c>
      <c r="B15" s="7" t="s">
        <v>21</v>
      </c>
      <c r="C15" s="38" t="s">
        <v>43</v>
      </c>
      <c r="D15" s="32">
        <v>5.0</v>
      </c>
      <c r="E15" s="32">
        <v>1.0</v>
      </c>
      <c r="F15" s="32" t="s">
        <v>23</v>
      </c>
      <c r="G15" s="10">
        <v>59.0</v>
      </c>
      <c r="H15" s="18" t="s">
        <v>24</v>
      </c>
      <c r="M15" s="36" t="s">
        <v>54</v>
      </c>
      <c r="N15" s="37">
        <f>MEDIAN(N2:N11)</f>
        <v>68</v>
      </c>
    </row>
    <row r="16" ht="22.5" customHeight="1">
      <c r="A16" s="27" t="s">
        <v>55</v>
      </c>
      <c r="B16" s="26" t="s">
        <v>14</v>
      </c>
      <c r="C16" s="39" t="s">
        <v>22</v>
      </c>
      <c r="D16" s="40">
        <v>30.0</v>
      </c>
      <c r="E16" s="40">
        <v>5.0</v>
      </c>
      <c r="F16" s="40" t="s">
        <v>23</v>
      </c>
      <c r="G16" s="23">
        <v>60.0</v>
      </c>
      <c r="H16" s="24" t="s">
        <v>33</v>
      </c>
      <c r="M16" s="36" t="s">
        <v>56</v>
      </c>
      <c r="N16" s="36">
        <f>_xlfn.STDEV.S(N2:N11)</f>
        <v>15.92377677</v>
      </c>
    </row>
    <row r="17" ht="22.5" customHeight="1">
      <c r="A17" s="28" t="s">
        <v>57</v>
      </c>
      <c r="B17" s="7" t="s">
        <v>14</v>
      </c>
      <c r="C17" s="38" t="s">
        <v>22</v>
      </c>
      <c r="D17" s="9">
        <v>10.0</v>
      </c>
      <c r="E17" s="9">
        <v>3.0</v>
      </c>
      <c r="F17" s="9" t="s">
        <v>23</v>
      </c>
      <c r="G17" s="10">
        <v>52.0</v>
      </c>
      <c r="H17" s="18" t="s">
        <v>24</v>
      </c>
      <c r="M17" s="37"/>
      <c r="N17" s="37"/>
    </row>
    <row r="18" ht="22.5" customHeight="1">
      <c r="A18" s="27" t="s">
        <v>58</v>
      </c>
      <c r="B18" s="26" t="s">
        <v>14</v>
      </c>
      <c r="C18" s="41" t="s">
        <v>22</v>
      </c>
      <c r="D18" s="42">
        <v>14.0</v>
      </c>
      <c r="E18" s="42">
        <v>5.0</v>
      </c>
      <c r="F18" s="42" t="s">
        <v>23</v>
      </c>
      <c r="G18" s="23">
        <v>60.0</v>
      </c>
      <c r="H18" s="24" t="s">
        <v>33</v>
      </c>
      <c r="M18" s="36" t="s">
        <v>59</v>
      </c>
      <c r="N18" s="36">
        <f>_xlfn.VAR.S(N2:N11)</f>
        <v>253.5666667</v>
      </c>
    </row>
    <row r="19" ht="22.5" customHeight="1">
      <c r="A19" s="27" t="s">
        <v>60</v>
      </c>
      <c r="B19" s="26" t="s">
        <v>21</v>
      </c>
      <c r="C19" s="43" t="s">
        <v>28</v>
      </c>
      <c r="D19" s="40">
        <v>2.0</v>
      </c>
      <c r="E19" s="40">
        <v>5.0</v>
      </c>
      <c r="F19" s="40" t="s">
        <v>23</v>
      </c>
      <c r="G19" s="23">
        <v>65.0</v>
      </c>
      <c r="H19" s="18" t="s">
        <v>33</v>
      </c>
      <c r="M19" s="36" t="s">
        <v>61</v>
      </c>
      <c r="N19" s="37">
        <f>MIN(N2:N11)</f>
        <v>49</v>
      </c>
    </row>
    <row r="20" ht="20.25" customHeight="1">
      <c r="A20" s="27" t="s">
        <v>62</v>
      </c>
      <c r="B20" s="26" t="s">
        <v>14</v>
      </c>
      <c r="C20" s="43" t="s">
        <v>43</v>
      </c>
      <c r="D20" s="40">
        <v>1.0</v>
      </c>
      <c r="E20" s="40">
        <v>5.0</v>
      </c>
      <c r="F20" s="40" t="s">
        <v>23</v>
      </c>
      <c r="G20" s="23">
        <v>85.0</v>
      </c>
      <c r="H20" s="18" t="s">
        <v>44</v>
      </c>
      <c r="M20" s="36"/>
      <c r="N20" s="36" t="s">
        <v>63</v>
      </c>
    </row>
    <row r="21">
      <c r="A21" s="44"/>
      <c r="M21" s="36" t="s">
        <v>64</v>
      </c>
      <c r="N21" s="37">
        <f>MAX(N2:N11)</f>
        <v>100</v>
      </c>
    </row>
    <row r="22">
      <c r="M22" s="36" t="s">
        <v>65</v>
      </c>
      <c r="N22" s="37">
        <f>MAX(N2:N11) - MIN(N2:N11)</f>
        <v>51</v>
      </c>
    </row>
    <row r="23">
      <c r="A23" s="44"/>
    </row>
    <row r="24">
      <c r="A24" s="44"/>
    </row>
    <row r="25" ht="22.5" customHeight="1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</row>
    <row r="26" ht="22.5" customHeight="1">
      <c r="A26" s="24" t="s">
        <v>13</v>
      </c>
      <c r="B26" s="26" t="s">
        <v>14</v>
      </c>
      <c r="C26" s="20" t="s">
        <v>15</v>
      </c>
      <c r="D26" s="22">
        <v>7.0</v>
      </c>
      <c r="E26" s="22">
        <v>5.0</v>
      </c>
      <c r="F26" s="22" t="s">
        <v>16</v>
      </c>
      <c r="G26" s="22">
        <v>100.0</v>
      </c>
      <c r="H26" s="27" t="s">
        <v>44</v>
      </c>
    </row>
    <row r="27" ht="22.5" customHeight="1">
      <c r="A27" s="27" t="s">
        <v>26</v>
      </c>
      <c r="B27" s="26" t="s">
        <v>14</v>
      </c>
      <c r="C27" s="41" t="s">
        <v>43</v>
      </c>
      <c r="D27" s="42">
        <v>3.0</v>
      </c>
      <c r="E27" s="42">
        <v>5.0</v>
      </c>
      <c r="F27" s="42" t="s">
        <v>23</v>
      </c>
      <c r="G27" s="23">
        <v>85.0</v>
      </c>
      <c r="H27" s="24" t="s">
        <v>44</v>
      </c>
    </row>
    <row r="28" ht="22.5" customHeight="1">
      <c r="A28" s="45" t="s">
        <v>42</v>
      </c>
      <c r="B28" s="46" t="s">
        <v>14</v>
      </c>
      <c r="C28" s="47" t="s">
        <v>43</v>
      </c>
      <c r="D28" s="48">
        <v>7.0</v>
      </c>
      <c r="E28" s="48">
        <v>4.0</v>
      </c>
      <c r="F28" s="48" t="s">
        <v>23</v>
      </c>
      <c r="G28" s="49">
        <v>81.0</v>
      </c>
      <c r="H28" s="50" t="s">
        <v>44</v>
      </c>
    </row>
    <row r="29" ht="22.5" customHeight="1">
      <c r="A29" s="27" t="s">
        <v>35</v>
      </c>
      <c r="B29" s="26" t="s">
        <v>21</v>
      </c>
      <c r="C29" s="43" t="s">
        <v>43</v>
      </c>
      <c r="D29" s="35">
        <v>1.0</v>
      </c>
      <c r="E29" s="40">
        <v>5.0</v>
      </c>
      <c r="F29" s="40" t="s">
        <v>23</v>
      </c>
      <c r="G29" s="22">
        <v>75.0</v>
      </c>
      <c r="H29" s="18" t="s">
        <v>33</v>
      </c>
    </row>
    <row r="30" ht="22.5" customHeight="1">
      <c r="A30" s="27" t="s">
        <v>48</v>
      </c>
      <c r="B30" s="26" t="s">
        <v>14</v>
      </c>
      <c r="C30" s="51" t="s">
        <v>22</v>
      </c>
      <c r="D30" s="35">
        <v>5.0</v>
      </c>
      <c r="E30" s="40">
        <v>4.0</v>
      </c>
      <c r="F30" s="40" t="s">
        <v>23</v>
      </c>
      <c r="G30" s="23">
        <v>71.0</v>
      </c>
      <c r="H30" s="24" t="s">
        <v>33</v>
      </c>
    </row>
    <row r="31" ht="22.5" customHeight="1">
      <c r="A31" s="27" t="s">
        <v>51</v>
      </c>
      <c r="B31" s="26" t="s">
        <v>21</v>
      </c>
      <c r="C31" s="20" t="s">
        <v>28</v>
      </c>
      <c r="D31" s="22">
        <v>20.0</v>
      </c>
      <c r="E31" s="22">
        <v>5.0</v>
      </c>
      <c r="F31" s="22" t="s">
        <v>16</v>
      </c>
      <c r="G31" s="23">
        <v>65.0</v>
      </c>
      <c r="H31" s="24" t="s">
        <v>33</v>
      </c>
    </row>
    <row r="32" ht="22.5" customHeight="1">
      <c r="A32" s="52" t="s">
        <v>32</v>
      </c>
      <c r="B32" s="20" t="s">
        <v>21</v>
      </c>
      <c r="C32" s="26" t="s">
        <v>15</v>
      </c>
      <c r="D32" s="22">
        <v>15.0</v>
      </c>
      <c r="E32" s="22">
        <v>5.0</v>
      </c>
      <c r="F32" s="22" t="s">
        <v>23</v>
      </c>
      <c r="G32" s="23">
        <v>60.0</v>
      </c>
      <c r="H32" s="18" t="s">
        <v>33</v>
      </c>
    </row>
    <row r="33" ht="22.5" customHeight="1">
      <c r="A33" s="27" t="s">
        <v>53</v>
      </c>
      <c r="B33" s="26" t="s">
        <v>21</v>
      </c>
      <c r="C33" s="39" t="s">
        <v>43</v>
      </c>
      <c r="D33" s="40">
        <v>5.0</v>
      </c>
      <c r="E33" s="40">
        <v>1.0</v>
      </c>
      <c r="F33" s="40" t="s">
        <v>23</v>
      </c>
      <c r="G33" s="23">
        <v>59.0</v>
      </c>
      <c r="H33" s="18" t="s">
        <v>24</v>
      </c>
    </row>
    <row r="34" ht="22.5" customHeight="1">
      <c r="A34" s="19" t="s">
        <v>27</v>
      </c>
      <c r="B34" s="20" t="s">
        <v>21</v>
      </c>
      <c r="C34" s="21" t="s">
        <v>28</v>
      </c>
      <c r="D34" s="22">
        <v>5.0</v>
      </c>
      <c r="E34" s="22">
        <v>2.0</v>
      </c>
      <c r="F34" s="22" t="s">
        <v>23</v>
      </c>
      <c r="G34" s="23">
        <v>53.0</v>
      </c>
      <c r="H34" s="24" t="s">
        <v>24</v>
      </c>
    </row>
    <row r="35" ht="22.5" customHeight="1">
      <c r="A35" s="53" t="s">
        <v>20</v>
      </c>
      <c r="B35" s="54" t="s">
        <v>21</v>
      </c>
      <c r="C35" s="54" t="s">
        <v>22</v>
      </c>
      <c r="D35" s="48">
        <v>7.0</v>
      </c>
      <c r="E35" s="55">
        <v>1.0</v>
      </c>
      <c r="F35" s="48" t="s">
        <v>23</v>
      </c>
      <c r="G35" s="49">
        <v>49.0</v>
      </c>
      <c r="H35" s="56" t="s">
        <v>24</v>
      </c>
    </row>
  </sheetData>
  <mergeCells count="1">
    <mergeCell ref="J1:K1"/>
  </mergeCells>
  <conditionalFormatting sqref="H2:H20 H26:H35">
    <cfRule type="containsText" dxfId="5" priority="1" operator="containsText" text="TINGGI">
      <formula>NOT(ISERROR(SEARCH(("TINGGI"),(H2))))</formula>
    </cfRule>
  </conditionalFormatting>
  <conditionalFormatting sqref="H5 H32">
    <cfRule type="containsText" dxfId="6" priority="2" operator="containsText" text="SEDANG">
      <formula>NOT(ISERROR(SEARCH(("SEDANG"),(H5))))</formula>
    </cfRule>
  </conditionalFormatting>
  <conditionalFormatting sqref="H2:H20 H26:H35">
    <cfRule type="containsText" dxfId="6" priority="3" operator="containsText" text="SEDANG">
      <formula>NOT(ISERROR(SEARCH(("SEDANG"),(H2))))</formula>
    </cfRule>
  </conditionalFormatting>
  <conditionalFormatting sqref="H2:H20 H26:H35">
    <cfRule type="containsText" dxfId="7" priority="4" operator="containsText" text="RENDAH">
      <formula>NOT(ISERROR(SEARCH(("RENDAH"),(H2))))</formula>
    </cfRule>
  </conditionalFormatting>
  <dataValidations>
    <dataValidation type="list" allowBlank="1" sqref="B2:B20 B26:B35">
      <formula1>"Individu,Kelompok"</formula1>
    </dataValidation>
    <dataValidation type="list" allowBlank="1" sqref="C2:C20 C26:C35">
      <formula1>"Tugas,Organisasi,Ujian/UTS/UAS,Pribadi"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13"/>
    <col customWidth="1" min="3" max="3" width="18.0"/>
    <col customWidth="1" min="4" max="4" width="27.13"/>
    <col customWidth="1" min="5" max="5" width="18.88"/>
    <col customWidth="1" min="6" max="6" width="19.88"/>
    <col customWidth="1" min="7" max="7" width="18.25"/>
    <col customWidth="1" min="8" max="8" width="28.0"/>
    <col customWidth="1" min="9" max="10" width="18.25"/>
  </cols>
  <sheetData>
    <row r="2" ht="22.5" customHeight="1">
      <c r="B2" s="57" t="s">
        <v>66</v>
      </c>
      <c r="C2" s="57" t="s">
        <v>67</v>
      </c>
      <c r="D2" s="57" t="s">
        <v>68</v>
      </c>
      <c r="E2" s="57" t="s">
        <v>69</v>
      </c>
      <c r="F2" s="57" t="s">
        <v>70</v>
      </c>
    </row>
    <row r="3" ht="22.5" customHeight="1">
      <c r="B3" s="58" t="s">
        <v>71</v>
      </c>
      <c r="C3" s="59">
        <v>69.7</v>
      </c>
      <c r="D3" s="58" t="s">
        <v>72</v>
      </c>
      <c r="E3" s="58">
        <v>0.0</v>
      </c>
      <c r="F3" s="60" t="s">
        <v>73</v>
      </c>
    </row>
    <row r="4" ht="22.5" customHeight="1">
      <c r="B4" s="58" t="s">
        <v>74</v>
      </c>
      <c r="C4" s="59">
        <v>68.0</v>
      </c>
      <c r="D4" s="58">
        <v>68.0</v>
      </c>
      <c r="E4" s="58">
        <v>0.0</v>
      </c>
      <c r="F4" s="60" t="s">
        <v>75</v>
      </c>
    </row>
    <row r="5" ht="22.5" customHeight="1">
      <c r="B5" s="58" t="s">
        <v>76</v>
      </c>
      <c r="C5" s="61"/>
      <c r="D5" s="58" t="s">
        <v>77</v>
      </c>
      <c r="E5" s="58" t="s">
        <v>77</v>
      </c>
      <c r="F5" s="60" t="s">
        <v>73</v>
      </c>
    </row>
    <row r="6" ht="22.5" customHeight="1">
      <c r="B6" s="58" t="s">
        <v>78</v>
      </c>
      <c r="C6" s="59">
        <v>253.56</v>
      </c>
      <c r="D6" s="58" t="s">
        <v>79</v>
      </c>
      <c r="E6" s="58">
        <v>1.0</v>
      </c>
      <c r="F6" s="60" t="s">
        <v>73</v>
      </c>
    </row>
    <row r="7" ht="22.5" customHeight="1">
      <c r="B7" s="58" t="s">
        <v>80</v>
      </c>
      <c r="C7" s="59">
        <v>15.92</v>
      </c>
      <c r="D7" s="58" t="s">
        <v>81</v>
      </c>
      <c r="E7" s="58">
        <v>0.0</v>
      </c>
      <c r="F7" s="60" t="s">
        <v>73</v>
      </c>
    </row>
    <row r="8" ht="22.5" customHeight="1">
      <c r="B8" s="58" t="s">
        <v>82</v>
      </c>
      <c r="C8" s="59">
        <v>49.0</v>
      </c>
      <c r="D8" s="58">
        <v>49.0</v>
      </c>
      <c r="E8" s="58">
        <v>0.0</v>
      </c>
      <c r="F8" s="60" t="s">
        <v>73</v>
      </c>
    </row>
    <row r="9" ht="22.5" customHeight="1">
      <c r="B9" s="58" t="s">
        <v>83</v>
      </c>
      <c r="C9" s="59">
        <v>100.0</v>
      </c>
      <c r="D9" s="58">
        <v>100.0</v>
      </c>
      <c r="E9" s="58">
        <v>0.0</v>
      </c>
      <c r="F9" s="60" t="s">
        <v>73</v>
      </c>
    </row>
    <row r="10" ht="22.5" customHeight="1">
      <c r="B10" s="58" t="s">
        <v>84</v>
      </c>
      <c r="C10" s="59">
        <v>51.0</v>
      </c>
      <c r="D10" s="58">
        <v>51.0</v>
      </c>
      <c r="E10" s="58">
        <v>0.0</v>
      </c>
      <c r="F10" s="60" t="s">
        <v>73</v>
      </c>
    </row>
    <row r="11">
      <c r="B11" s="62"/>
    </row>
    <row r="12">
      <c r="B12" s="62"/>
    </row>
    <row r="13">
      <c r="B13" s="62"/>
    </row>
    <row r="15" ht="22.5" customHeight="1">
      <c r="A15" s="57" t="s">
        <v>85</v>
      </c>
      <c r="B15" s="57" t="s">
        <v>86</v>
      </c>
      <c r="C15" s="57" t="s">
        <v>87</v>
      </c>
      <c r="D15" s="57" t="s">
        <v>88</v>
      </c>
      <c r="E15" s="57" t="s">
        <v>89</v>
      </c>
      <c r="F15" s="57" t="s">
        <v>90</v>
      </c>
      <c r="G15" s="57" t="s">
        <v>91</v>
      </c>
      <c r="H15" s="57" t="s">
        <v>92</v>
      </c>
      <c r="I15" s="57" t="s">
        <v>93</v>
      </c>
      <c r="J15" s="57" t="s">
        <v>70</v>
      </c>
    </row>
    <row r="16" ht="22.5" customHeight="1">
      <c r="A16" s="59" t="s">
        <v>94</v>
      </c>
      <c r="B16" s="59" t="s">
        <v>95</v>
      </c>
      <c r="C16" s="59" t="s">
        <v>96</v>
      </c>
      <c r="D16" s="58" t="s">
        <v>14</v>
      </c>
      <c r="E16" s="59">
        <v>7.0</v>
      </c>
      <c r="F16" s="59">
        <v>5.0</v>
      </c>
      <c r="G16" s="59" t="s">
        <v>16</v>
      </c>
      <c r="H16" s="59" t="s">
        <v>97</v>
      </c>
      <c r="I16" s="59">
        <v>100.0</v>
      </c>
      <c r="J16" s="60" t="s">
        <v>73</v>
      </c>
    </row>
    <row r="17" ht="22.5" customHeight="1">
      <c r="A17" s="59" t="s">
        <v>98</v>
      </c>
      <c r="B17" s="59" t="s">
        <v>99</v>
      </c>
      <c r="C17" s="59" t="s">
        <v>43</v>
      </c>
      <c r="D17" s="58" t="s">
        <v>14</v>
      </c>
      <c r="E17" s="59">
        <v>3.0</v>
      </c>
      <c r="F17" s="59">
        <v>5.0</v>
      </c>
      <c r="G17" s="59" t="s">
        <v>23</v>
      </c>
      <c r="H17" s="59" t="s">
        <v>100</v>
      </c>
      <c r="I17" s="59">
        <v>85.0</v>
      </c>
      <c r="J17" s="60" t="s">
        <v>101</v>
      </c>
    </row>
    <row r="18" ht="22.5" customHeight="1">
      <c r="A18" s="59" t="s">
        <v>102</v>
      </c>
      <c r="B18" s="59" t="s">
        <v>103</v>
      </c>
      <c r="C18" s="59" t="s">
        <v>43</v>
      </c>
      <c r="D18" s="58" t="s">
        <v>14</v>
      </c>
      <c r="E18" s="59">
        <v>7.0</v>
      </c>
      <c r="F18" s="59">
        <v>4.0</v>
      </c>
      <c r="G18" s="59" t="s">
        <v>23</v>
      </c>
      <c r="H18" s="59" t="s">
        <v>104</v>
      </c>
      <c r="I18" s="59">
        <v>81.0</v>
      </c>
      <c r="J18" s="60" t="s">
        <v>73</v>
      </c>
    </row>
    <row r="19" ht="22.5" customHeight="1">
      <c r="A19" s="59" t="s">
        <v>105</v>
      </c>
      <c r="B19" s="59" t="s">
        <v>106</v>
      </c>
      <c r="C19" s="59" t="s">
        <v>43</v>
      </c>
      <c r="D19" s="58" t="s">
        <v>21</v>
      </c>
      <c r="E19" s="59">
        <v>1.0</v>
      </c>
      <c r="F19" s="59">
        <v>5.0</v>
      </c>
      <c r="G19" s="59" t="s">
        <v>23</v>
      </c>
      <c r="H19" s="59" t="s">
        <v>107</v>
      </c>
      <c r="I19" s="59">
        <v>75.0</v>
      </c>
      <c r="J19" s="60" t="s">
        <v>73</v>
      </c>
    </row>
    <row r="20" ht="22.5" customHeight="1">
      <c r="A20" s="59" t="s">
        <v>108</v>
      </c>
      <c r="B20" s="63" t="s">
        <v>109</v>
      </c>
      <c r="C20" s="59" t="s">
        <v>22</v>
      </c>
      <c r="D20" s="58" t="s">
        <v>14</v>
      </c>
      <c r="E20" s="59">
        <v>5.0</v>
      </c>
      <c r="F20" s="59">
        <v>4.0</v>
      </c>
      <c r="G20" s="59" t="s">
        <v>23</v>
      </c>
      <c r="H20" s="59" t="s">
        <v>110</v>
      </c>
      <c r="I20" s="59">
        <v>71.0</v>
      </c>
      <c r="J20" s="60" t="s">
        <v>101</v>
      </c>
    </row>
    <row r="21" ht="22.5" customHeight="1">
      <c r="A21" s="59" t="s">
        <v>111</v>
      </c>
      <c r="B21" s="63" t="s">
        <v>112</v>
      </c>
      <c r="C21" s="59" t="s">
        <v>28</v>
      </c>
      <c r="D21" s="58" t="s">
        <v>21</v>
      </c>
      <c r="E21" s="59">
        <v>20.0</v>
      </c>
      <c r="F21" s="59">
        <v>5.0</v>
      </c>
      <c r="G21" s="59" t="s">
        <v>16</v>
      </c>
      <c r="H21" s="59" t="s">
        <v>113</v>
      </c>
      <c r="I21" s="59">
        <v>65.0</v>
      </c>
      <c r="J21" s="60" t="s">
        <v>73</v>
      </c>
    </row>
    <row r="22" ht="22.5" customHeight="1">
      <c r="A22" s="59" t="s">
        <v>114</v>
      </c>
      <c r="B22" s="63" t="s">
        <v>115</v>
      </c>
      <c r="C22" s="59" t="s">
        <v>96</v>
      </c>
      <c r="D22" s="58" t="s">
        <v>21</v>
      </c>
      <c r="E22" s="59">
        <v>15.0</v>
      </c>
      <c r="F22" s="59">
        <v>5.0</v>
      </c>
      <c r="G22" s="59" t="s">
        <v>23</v>
      </c>
      <c r="H22" s="59" t="s">
        <v>116</v>
      </c>
      <c r="I22" s="59">
        <v>60.0</v>
      </c>
      <c r="J22" s="60" t="s">
        <v>101</v>
      </c>
    </row>
    <row r="23" ht="22.5" customHeight="1">
      <c r="A23" s="59" t="s">
        <v>117</v>
      </c>
      <c r="B23" s="63" t="s">
        <v>118</v>
      </c>
      <c r="C23" s="59" t="s">
        <v>43</v>
      </c>
      <c r="D23" s="58" t="s">
        <v>21</v>
      </c>
      <c r="E23" s="59">
        <v>5.0</v>
      </c>
      <c r="F23" s="59">
        <v>1.0</v>
      </c>
      <c r="G23" s="59" t="s">
        <v>23</v>
      </c>
      <c r="H23" s="59" t="s">
        <v>119</v>
      </c>
      <c r="I23" s="59">
        <v>59.0</v>
      </c>
      <c r="J23" s="60" t="s">
        <v>73</v>
      </c>
    </row>
    <row r="24" ht="22.5" customHeight="1">
      <c r="A24" s="59" t="s">
        <v>120</v>
      </c>
      <c r="B24" s="63" t="s">
        <v>121</v>
      </c>
      <c r="C24" s="59" t="s">
        <v>22</v>
      </c>
      <c r="D24" s="58" t="s">
        <v>14</v>
      </c>
      <c r="E24" s="59">
        <v>5.0</v>
      </c>
      <c r="F24" s="59">
        <v>2.0</v>
      </c>
      <c r="G24" s="59" t="s">
        <v>23</v>
      </c>
      <c r="H24" s="59" t="s">
        <v>122</v>
      </c>
      <c r="I24" s="59">
        <v>52.0</v>
      </c>
      <c r="J24" s="60" t="s">
        <v>73</v>
      </c>
    </row>
    <row r="25" ht="22.5" customHeight="1">
      <c r="A25" s="59" t="s">
        <v>123</v>
      </c>
      <c r="B25" s="63" t="s">
        <v>124</v>
      </c>
      <c r="C25" s="59" t="s">
        <v>22</v>
      </c>
      <c r="D25" s="58" t="s">
        <v>21</v>
      </c>
      <c r="E25" s="59">
        <v>7.0</v>
      </c>
      <c r="F25" s="59">
        <v>1.0</v>
      </c>
      <c r="G25" s="59" t="s">
        <v>23</v>
      </c>
      <c r="H25" s="59" t="s">
        <v>125</v>
      </c>
      <c r="I25" s="59">
        <v>49.0</v>
      </c>
      <c r="J25" s="60" t="s">
        <v>73</v>
      </c>
    </row>
  </sheetData>
  <drawing r:id="rId1"/>
  <tableParts count="2">
    <tablePart r:id="rId4"/>
    <tablePart r:id="rId5"/>
  </tableParts>
</worksheet>
</file>